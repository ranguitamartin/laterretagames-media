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mana 43" sheetId="1" state="visible" r:id="rId3"/>
    <sheet name="Semana 44" sheetId="2" state="visible" r:id="rId4"/>
    <sheet name="Resumen" sheetId="3" state="visible" r:id="rId5"/>
    <sheet name="Estrategi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<sst xmlns="http://schemas.openxmlformats.org/spreadsheetml/2006/main" count="155" uniqueCount="78">
  <si>
    <t xml:space="preserve">AppWatch · Semana 43 (20–26 oct 2026) · prueba de flujo</t>
  </si>
  <si>
    <t xml:space="preserve">Horas en Europe/Madrid. Estado y Tipo editables (desplegables, texto azul).</t>
  </si>
  <si>
    <t xml:space="preserve">Día</t>
  </si>
  <si>
    <t xml:space="preserve">Fecha</t>
  </si>
  <si>
    <t xml:space="preserve">Hora</t>
  </si>
  <si>
    <t xml:space="preserve">Red</t>
  </si>
  <si>
    <t xml:space="preserve">Herramienta</t>
  </si>
  <si>
    <t xml:space="preserve">Tipo</t>
  </si>
  <si>
    <t xml:space="preserve">Contenido</t>
  </si>
  <si>
    <t xml:space="preserve">Estado</t>
  </si>
  <si>
    <t xml:space="preserve">Notas / enlace</t>
  </si>
  <si>
    <t xml:space="preserve">Martes</t>
  </si>
  <si>
    <t xml:space="preserve">2026-10-20</t>
  </si>
  <si>
    <t xml:space="preserve">10:00</t>
  </si>
  <si>
    <t xml:space="preserve">X</t>
  </si>
  <si>
    <t xml:space="preserve">Typefully</t>
  </si>
  <si>
    <t xml:space="preserve">AppWatch</t>
  </si>
  <si>
    <t xml:space="preserve">Prueba de flujo (vídeo)</t>
  </si>
  <si>
    <t xml:space="preserve">Publicado</t>
  </si>
  <si>
    <t xml:space="preserve">Vídeo comprimido (5,8 MB)</t>
  </si>
  <si>
    <t xml:space="preserve">LinkedIn</t>
  </si>
  <si>
    <t xml:space="preserve">Manual</t>
  </si>
  <si>
    <t xml:space="preserve">Vídeo horizontal original</t>
  </si>
  <si>
    <t xml:space="preserve">Jueves</t>
  </si>
  <si>
    <t xml:space="preserve">2026-10-22</t>
  </si>
  <si>
    <t xml:space="preserve">Facebook</t>
  </si>
  <si>
    <t xml:space="preserve">Metricool</t>
  </si>
  <si>
    <t xml:space="preserve">Prueba de flujo</t>
  </si>
  <si>
    <t xml:space="preserve">https://facebook.com/1892407955054204/posts/1670157114758494</t>
  </si>
  <si>
    <t xml:space="preserve">Sábado</t>
  </si>
  <si>
    <t xml:space="preserve">2026-10-24</t>
  </si>
  <si>
    <t xml:space="preserve">11:00</t>
  </si>
  <si>
    <t xml:space="preserve">Instagram (Reel)</t>
  </si>
  <si>
    <t xml:space="preserve">Prueba de flujo (Reel)</t>
  </si>
  <si>
    <t xml:space="preserve">Enlace en la bio</t>
  </si>
  <si>
    <t xml:space="preserve">La Terreta Games · Semana 44 (27–31 oct 2026)</t>
  </si>
  <si>
    <t xml:space="preserve">2026-10-27</t>
  </si>
  <si>
    <t xml:space="preserve">12:02</t>
  </si>
  <si>
    <t xml:space="preserve">Store listing: ¿ayudó el cambio?</t>
  </si>
  <si>
    <t xml:space="preserve">https://x.com/laterretagames/status/2115051399759446264 (recuperado: salió a las 13:00 hora de Madrid en vez de 10:00)</t>
  </si>
  <si>
    <t xml:space="preserve">—</t>
  </si>
  <si>
    <t xml:space="preserve">Pendiente</t>
  </si>
  <si>
    <t xml:space="preserve">Lo publica Roberto a mano; confirmar si ya salió</t>
  </si>
  <si>
    <t xml:space="preserve">2026-10-29</t>
  </si>
  <si>
    <t xml:space="preserve">Steam en AppWatch</t>
  </si>
  <si>
    <t xml:space="preserve">Programado</t>
  </si>
  <si>
    <t xml:space="preserve">Lo publica Roberto a mano (texto ya enviado)</t>
  </si>
  <si>
    <t xml:space="preserve">2026-10-31</t>
  </si>
  <si>
    <t xml:space="preserve">Entre bastidores</t>
  </si>
  <si>
    <t xml:space="preserve">Reel: hoja de ruta pública (AppWatch)</t>
  </si>
  <si>
    <t xml:space="preserve">Facebook (Reel)</t>
  </si>
  <si>
    <t xml:space="preserve">Resumen</t>
  </si>
  <si>
    <t xml:space="preserve">Semana</t>
  </si>
  <si>
    <t xml:space="preserve">Borrador</t>
  </si>
  <si>
    <t xml:space="preserve">Total</t>
  </si>
  <si>
    <t xml:space="preserve">Semana 43</t>
  </si>
  <si>
    <t xml:space="preserve">Semana 44</t>
  </si>
  <si>
    <t xml:space="preserve">Mezcla de contenido (publicaciones por tipo)</t>
  </si>
  <si>
    <t xml:space="preserve">% del total</t>
  </si>
  <si>
    <t xml:space="preserve">Objetivo mensual</t>
  </si>
  <si>
    <t xml:space="preserve">Otro producto</t>
  </si>
  <si>
    <t xml:space="preserve">Audiencia</t>
  </si>
  <si>
    <t xml:space="preserve">Nota: hasta la semana 44 todo fue AppWatch (campaña inicial). Desde la semana 45 cada semana mezcla 1 AppWatch + 1 otro producto/estudio + 1 de audiencia. Al añadir una semana nueva, crea su pestaña y súmala a estas tablas.</t>
  </si>
  <si>
    <t xml:space="preserve">Estrategia de contenido de la cuenta (todos los productos)</t>
  </si>
  <si>
    <t xml:space="preserve">Objetivo</t>
  </si>
  <si>
    <t xml:space="preserve">Captar seguidores nuevos y mantener el interés: la cuenta es de La Terreta Games y de todos sus productos, no solo de AppWatch.</t>
  </si>
  <si>
    <t xml:space="preserve">Cada semana</t>
  </si>
  <si>
    <t xml:space="preserve">1 pieza AppWatch (función lanzada o dato real) + 1 de otro producto o del estudio (Sensores, FoxyHops, Retro Loco, juego de fútbol, plugins; rotan) + 1 de audiencia (sin venta, pensada para compartir).</t>
  </si>
  <si>
    <t xml:space="preserve">Formatos de audiencia</t>
  </si>
  <si>
    <t xml:space="preserve">Humor de desarrollador indie, opinión polémica sana, 'lo que aprendí', encuestas, mitos vs. realidad, mini-guías de 3-5 consejos, confesiones de build in public.</t>
  </si>
  <si>
    <t xml:space="preserve">Calendario</t>
  </si>
  <si>
    <t xml:space="preserve">Martes 10:00 LinkedIn + X · Jueves 10:00 LinkedIn + X + Facebook · Sábado 11:00 Instagram (Reel) + Facebook.</t>
  </si>
  <si>
    <t xml:space="preserve">Reglas</t>
  </si>
  <si>
    <t xml:space="preserve">Máx. 1 emoji · 1-2 hashtags (5 en Instagram) · sin competidores ni política · sin memes con derechos · solo hechos verificados, sin cifras inventadas · siempre imagen o vídeo.</t>
  </si>
  <si>
    <t xml:space="preserve">Aprobación</t>
  </si>
  <si>
    <t xml:space="preserve">Nada se programa hasta que Roberto dice 'aprobado'; el contenido de Sensores y otros productos es propuesta hasta entonces. LinkedIn lo publica Roberto a mano.</t>
  </si>
  <si>
    <t xml:space="preserve">Fuentes</t>
  </si>
  <si>
    <t xml:space="preserve">brand/voice.md y brand/products.md en el repositorio laterretagames-media.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</si>
</sst>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66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7"/>
    <col collapsed="false" customWidth="true" hidden="false" outlineLevel="0" max="7" min="7" style="0" width="34"/>
    <col collapsed="false" customWidth="true" hidden="false" outlineLevel="0" max="8" min="8" style="0" width="12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5" t="s">
        <v>16</v>
      </c>
      <c r="G5" s="4" t="s">
        <v>17</v>
      </c>
      <c r="H5" s="5" t="s">
        <v>18</v>
      </c>
      <c r="I5" s="4" t="s">
        <v>19</v>
      </c>
    </row>
    <row r="6" customFormat="false" ht="15" hidden="false" customHeight="false" outlineLevel="0" collapsed="false">
      <c r="A6" s="4" t="s">
        <v>11</v>
      </c>
      <c r="B6" s="4" t="s">
        <v>12</v>
      </c>
      <c r="C6" s="4" t="s">
        <v>13</v>
      </c>
      <c r="D6" s="4" t="s">
        <v>20</v>
      </c>
      <c r="E6" s="4" t="s">
        <v>21</v>
      </c>
      <c r="F6" s="5" t="s">
        <v>16</v>
      </c>
      <c r="G6" s="4" t="s">
        <v>17</v>
      </c>
      <c r="H6" s="5" t="s">
        <v>18</v>
      </c>
      <c r="I6" s="4" t="s">
        <v>22</v>
      </c>
    </row>
    <row r="7" customFormat="false" ht="15" hidden="false" customHeight="false" outlineLevel="0" collapsed="false">
      <c r="A7" s="4" t="s">
        <v>23</v>
      </c>
      <c r="B7" s="4" t="s">
        <v>24</v>
      </c>
      <c r="C7" s="4" t="s">
        <v>13</v>
      </c>
      <c r="D7" s="4" t="s">
        <v>25</v>
      </c>
      <c r="E7" s="4" t="s">
        <v>26</v>
      </c>
      <c r="F7" s="5" t="s">
        <v>16</v>
      </c>
      <c r="G7" s="4" t="s">
        <v>27</v>
      </c>
      <c r="H7" s="5" t="s">
        <v>18</v>
      </c>
      <c r="I7" s="4" t="s">
        <v>28</v>
      </c>
    </row>
    <row r="8" customFormat="false" ht="15" hidden="false" customHeight="false" outlineLevel="0" collapsed="false">
      <c r="A8" s="4" t="s">
        <v>29</v>
      </c>
      <c r="B8" s="4" t="s">
        <v>30</v>
      </c>
      <c r="C8" s="4" t="s">
        <v>31</v>
      </c>
      <c r="D8" s="4" t="s">
        <v>32</v>
      </c>
      <c r="E8" s="4" t="s">
        <v>26</v>
      </c>
      <c r="F8" s="5" t="s">
        <v>16</v>
      </c>
      <c r="G8" s="4" t="s">
        <v>33</v>
      </c>
      <c r="H8" s="5" t="s">
        <v>18</v>
      </c>
      <c r="I8" s="4" t="s">
        <v>34</v>
      </c>
    </row>
  </sheetData>
  <dataValidations count="2">
    <dataValidation allowBlank="false" errorStyle="stop" operator="between" showDropDown="false" showErrorMessage="false" showInputMessage="false" sqref="H5:H40" type="list">
      <formula1>"Borrador,Programado,Publicado,Pendiente"</formula1>
      <formula2>0</formula2>
    </dataValidation>
    <dataValidation allowBlank="false" errorStyle="stop" operator="between" showDropDown="false" showErrorMessage="false" showInputMessage="false" sqref="F5:F40" type="list">
      <formula1>"AppWatch,Otro producto,Audiencia,Entre bastidores"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7"/>
    <col collapsed="false" customWidth="true" hidden="false" outlineLevel="0" max="7" min="7" style="0" width="34"/>
    <col collapsed="false" customWidth="true" hidden="false" outlineLevel="0" max="8" min="8" style="0" width="12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3.85" hidden="false" customHeight="false" outlineLevel="0" collapsed="false">
      <c r="A5" s="4" t="s">
        <v>11</v>
      </c>
      <c r="B5" s="4" t="s">
        <v>36</v>
      </c>
      <c r="C5" s="4" t="s">
        <v>37</v>
      </c>
      <c r="D5" s="4" t="s">
        <v>14</v>
      </c>
      <c r="E5" s="4" t="s">
        <v>15</v>
      </c>
      <c r="F5" s="5" t="s">
        <v>16</v>
      </c>
      <c r="G5" s="4" t="s">
        <v>38</v>
      </c>
      <c r="H5" s="5" t="s">
        <v>18</v>
      </c>
      <c r="I5" s="4" t="s">
        <v>39</v>
      </c>
    </row>
    <row r="6" customFormat="false" ht="15" hidden="false" customHeight="false" outlineLevel="0" collapsed="false">
      <c r="A6" s="4" t="s">
        <v>11</v>
      </c>
      <c r="B6" s="4" t="s">
        <v>36</v>
      </c>
      <c r="C6" s="4" t="s">
        <v>40</v>
      </c>
      <c r="D6" s="4" t="s">
        <v>20</v>
      </c>
      <c r="E6" s="4" t="s">
        <v>21</v>
      </c>
      <c r="F6" s="5" t="s">
        <v>16</v>
      </c>
      <c r="G6" s="4" t="s">
        <v>38</v>
      </c>
      <c r="H6" s="5" t="s">
        <v>41</v>
      </c>
      <c r="I6" s="4" t="s">
        <v>42</v>
      </c>
    </row>
    <row r="7" customFormat="false" ht="15" hidden="false" customHeight="false" outlineLevel="0" collapsed="false">
      <c r="A7" s="4" t="s">
        <v>23</v>
      </c>
      <c r="B7" s="4" t="s">
        <v>43</v>
      </c>
      <c r="C7" s="4" t="s">
        <v>13</v>
      </c>
      <c r="D7" s="4" t="s">
        <v>14</v>
      </c>
      <c r="E7" s="4" t="s">
        <v>15</v>
      </c>
      <c r="F7" s="5" t="s">
        <v>16</v>
      </c>
      <c r="G7" s="4" t="s">
        <v>44</v>
      </c>
      <c r="H7" s="5" t="s">
        <v>45</v>
      </c>
      <c r="I7" s="4"/>
    </row>
    <row r="8" customFormat="false" ht="15" hidden="false" customHeight="false" outlineLevel="0" collapsed="false">
      <c r="A8" s="4" t="s">
        <v>23</v>
      </c>
      <c r="B8" s="4" t="s">
        <v>43</v>
      </c>
      <c r="C8" s="4" t="s">
        <v>13</v>
      </c>
      <c r="D8" s="4" t="s">
        <v>25</v>
      </c>
      <c r="E8" s="4" t="s">
        <v>26</v>
      </c>
      <c r="F8" s="5" t="s">
        <v>16</v>
      </c>
      <c r="G8" s="4" t="s">
        <v>44</v>
      </c>
      <c r="H8" s="5" t="s">
        <v>45</v>
      </c>
      <c r="I8" s="4"/>
    </row>
    <row r="9" customFormat="false" ht="15" hidden="false" customHeight="false" outlineLevel="0" collapsed="false">
      <c r="A9" s="4" t="s">
        <v>23</v>
      </c>
      <c r="B9" s="4" t="s">
        <v>43</v>
      </c>
      <c r="C9" s="4" t="s">
        <v>40</v>
      </c>
      <c r="D9" s="4" t="s">
        <v>20</v>
      </c>
      <c r="E9" s="4" t="s">
        <v>21</v>
      </c>
      <c r="F9" s="5" t="s">
        <v>16</v>
      </c>
      <c r="G9" s="4" t="s">
        <v>44</v>
      </c>
      <c r="H9" s="5" t="s">
        <v>41</v>
      </c>
      <c r="I9" s="4" t="s">
        <v>46</v>
      </c>
    </row>
    <row r="10" customFormat="false" ht="15" hidden="false" customHeight="false" outlineLevel="0" collapsed="false">
      <c r="A10" s="4" t="s">
        <v>29</v>
      </c>
      <c r="B10" s="4" t="s">
        <v>47</v>
      </c>
      <c r="C10" s="4" t="s">
        <v>31</v>
      </c>
      <c r="D10" s="4" t="s">
        <v>32</v>
      </c>
      <c r="E10" s="4" t="s">
        <v>26</v>
      </c>
      <c r="F10" s="5" t="s">
        <v>48</v>
      </c>
      <c r="G10" s="4" t="s">
        <v>49</v>
      </c>
      <c r="H10" s="5" t="s">
        <v>45</v>
      </c>
      <c r="I10" s="4"/>
    </row>
    <row r="11" customFormat="false" ht="15" hidden="false" customHeight="false" outlineLevel="0" collapsed="false">
      <c r="A11" s="4" t="s">
        <v>29</v>
      </c>
      <c r="B11" s="4" t="s">
        <v>47</v>
      </c>
      <c r="C11" s="4" t="s">
        <v>31</v>
      </c>
      <c r="D11" s="4" t="s">
        <v>50</v>
      </c>
      <c r="E11" s="4" t="s">
        <v>26</v>
      </c>
      <c r="F11" s="5" t="s">
        <v>48</v>
      </c>
      <c r="G11" s="4" t="s">
        <v>49</v>
      </c>
      <c r="H11" s="5" t="s">
        <v>45</v>
      </c>
      <c r="I11" s="4"/>
    </row>
  </sheetData>
  <dataValidations count="2">
    <dataValidation allowBlank="false" errorStyle="stop" operator="between" showDropDown="false" showErrorMessage="false" showInputMessage="false" sqref="H5:H40" type="list">
      <formula1>"Borrador,Programado,Publicado,Pendiente"</formula1>
      <formula2>0</formula2>
    </dataValidation>
    <dataValidation allowBlank="false" errorStyle="stop" operator="between" showDropDown="false" showErrorMessage="false" showInputMessage="false" sqref="F5:F40" type="list">
      <formula1>"AppWatch,Otro producto,Audiencia,Entre bastidores"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1" t="s">
        <v>51</v>
      </c>
    </row>
    <row r="3" customFormat="false" ht="15" hidden="false" customHeight="false" outlineLevel="0" collapsed="false">
      <c r="A3" s="3" t="s">
        <v>52</v>
      </c>
      <c r="B3" s="3" t="s">
        <v>18</v>
      </c>
      <c r="C3" s="3" t="s">
        <v>45</v>
      </c>
      <c r="D3" s="3" t="s">
        <v>41</v>
      </c>
      <c r="E3" s="3" t="s">
        <v>53</v>
      </c>
      <c r="F3" s="3" t="s">
        <v>54</v>
      </c>
    </row>
    <row r="4" customFormat="false" ht="15" hidden="false" customHeight="false" outlineLevel="0" collapsed="false">
      <c r="A4" s="6" t="s">
        <v>55</v>
      </c>
      <c r="B4" s="6" t="n">
        <f aca="false">COUNTIF('Semana 43'!$H$5:$H$40,"Publicado")</f>
        <v>4</v>
      </c>
      <c r="C4" s="6" t="n">
        <f aca="false">COUNTIF('Semana 43'!$H$5:$H$40,"Programado")</f>
        <v>0</v>
      </c>
      <c r="D4" s="6" t="n">
        <f aca="false">COUNTIF('Semana 43'!$H$5:$H$40,"Pendiente")</f>
        <v>0</v>
      </c>
      <c r="E4" s="6" t="n">
        <f aca="false">COUNTIF('Semana 43'!$H$5:$H$40,"Borrador")</f>
        <v>0</v>
      </c>
      <c r="F4" s="6" t="n">
        <f aca="false">SUM(B4:E4)</f>
        <v>4</v>
      </c>
    </row>
    <row r="5" customFormat="false" ht="15" hidden="false" customHeight="false" outlineLevel="0" collapsed="false">
      <c r="A5" s="6" t="s">
        <v>56</v>
      </c>
      <c r="B5" s="6" t="n">
        <f aca="false">COUNTIF('Semana 44'!$H$5:$H$40,"Publicado")</f>
        <v>1</v>
      </c>
      <c r="C5" s="6" t="n">
        <f aca="false">COUNTIF('Semana 44'!$H$5:$H$40,"Programado")</f>
        <v>4</v>
      </c>
      <c r="D5" s="6" t="n">
        <f aca="false">COUNTIF('Semana 44'!$H$5:$H$40,"Pendiente")</f>
        <v>2</v>
      </c>
      <c r="E5" s="6" t="n">
        <f aca="false">COUNTIF('Semana 44'!$H$5:$H$40,"Borrador")</f>
        <v>0</v>
      </c>
      <c r="F5" s="6" t="n">
        <f aca="false">SUM(B5:E5)</f>
        <v>7</v>
      </c>
    </row>
    <row r="6" customFormat="false" ht="15" hidden="false" customHeight="false" outlineLevel="0" collapsed="false">
      <c r="A6" s="7" t="s">
        <v>54</v>
      </c>
      <c r="B6" s="7" t="n">
        <f aca="false">SUM(B4:B5)</f>
        <v>5</v>
      </c>
      <c r="C6" s="7" t="n">
        <f aca="false">SUM(C4:C5)</f>
        <v>4</v>
      </c>
      <c r="D6" s="7" t="n">
        <f aca="false">SUM(D4:D5)</f>
        <v>2</v>
      </c>
      <c r="E6" s="7" t="n">
        <f aca="false">SUM(E4:E5)</f>
        <v>0</v>
      </c>
      <c r="F6" s="7" t="n">
        <f aca="false">SUM(F4:F5)</f>
        <v>11</v>
      </c>
    </row>
    <row r="8" customFormat="false" ht="15" hidden="false" customHeight="false" outlineLevel="0" collapsed="false">
      <c r="A8" s="7" t="s">
        <v>57</v>
      </c>
    </row>
    <row r="9" customFormat="false" ht="15" hidden="false" customHeight="false" outlineLevel="0" collapsed="false">
      <c r="A9" s="3" t="s">
        <v>7</v>
      </c>
      <c r="B9" s="3" t="s">
        <v>55</v>
      </c>
      <c r="C9" s="3" t="s">
        <v>56</v>
      </c>
      <c r="D9" s="3" t="s">
        <v>54</v>
      </c>
      <c r="E9" s="3" t="s">
        <v>58</v>
      </c>
      <c r="F9" s="3" t="s">
        <v>59</v>
      </c>
    </row>
    <row r="10" customFormat="false" ht="15" hidden="false" customHeight="false" outlineLevel="0" collapsed="false">
      <c r="A10" s="6" t="s">
        <v>16</v>
      </c>
      <c r="B10" s="6" t="n">
        <f aca="false">COUNTIF('Semana 43'!$F$5:$F$40,$A10)</f>
        <v>4</v>
      </c>
      <c r="C10" s="6" t="n">
        <f aca="false">COUNTIF('Semana 44'!$F$5:$F$40,$A10)</f>
        <v>5</v>
      </c>
      <c r="D10" s="6" t="n">
        <f aca="false">B10+C10</f>
        <v>9</v>
      </c>
      <c r="E10" s="8" t="n">
        <f aca="false">IF($D$14=0,0,D10/$D$14)</f>
        <v>0.818181818181818</v>
      </c>
      <c r="F10" s="9" t="n">
        <v>0.3</v>
      </c>
    </row>
    <row r="11" customFormat="false" ht="15" hidden="false" customHeight="false" outlineLevel="0" collapsed="false">
      <c r="A11" s="6" t="s">
        <v>60</v>
      </c>
      <c r="B11" s="6" t="n">
        <f aca="false">COUNTIF('Semana 43'!$F$5:$F$40,$A11)</f>
        <v>0</v>
      </c>
      <c r="C11" s="6" t="n">
        <f aca="false">COUNTIF('Semana 44'!$F$5:$F$40,$A11)</f>
        <v>0</v>
      </c>
      <c r="D11" s="6" t="n">
        <f aca="false">B11+C11</f>
        <v>0</v>
      </c>
      <c r="E11" s="8" t="n">
        <f aca="false">IF($D$14=0,0,D11/$D$14)</f>
        <v>0</v>
      </c>
      <c r="F11" s="9" t="n">
        <v>0.25</v>
      </c>
    </row>
    <row r="12" customFormat="false" ht="15" hidden="false" customHeight="false" outlineLevel="0" collapsed="false">
      <c r="A12" s="6" t="s">
        <v>61</v>
      </c>
      <c r="B12" s="6" t="n">
        <f aca="false">COUNTIF('Semana 43'!$F$5:$F$40,$A12)</f>
        <v>0</v>
      </c>
      <c r="C12" s="6" t="n">
        <f aca="false">COUNTIF('Semana 44'!$F$5:$F$40,$A12)</f>
        <v>0</v>
      </c>
      <c r="D12" s="6" t="n">
        <f aca="false">B12+C12</f>
        <v>0</v>
      </c>
      <c r="E12" s="8" t="n">
        <f aca="false">IF($D$14=0,0,D12/$D$14)</f>
        <v>0</v>
      </c>
      <c r="F12" s="9" t="n">
        <v>0.3</v>
      </c>
    </row>
    <row r="13" customFormat="false" ht="15" hidden="false" customHeight="false" outlineLevel="0" collapsed="false">
      <c r="A13" s="6" t="s">
        <v>48</v>
      </c>
      <c r="B13" s="6" t="n">
        <f aca="false">COUNTIF('Semana 43'!$F$5:$F$40,$A13)</f>
        <v>0</v>
      </c>
      <c r="C13" s="6" t="n">
        <f aca="false">COUNTIF('Semana 44'!$F$5:$F$40,$A13)</f>
        <v>2</v>
      </c>
      <c r="D13" s="6" t="n">
        <f aca="false">B13+C13</f>
        <v>2</v>
      </c>
      <c r="E13" s="8" t="n">
        <f aca="false">IF($D$14=0,0,D13/$D$14)</f>
        <v>0.181818181818182</v>
      </c>
      <c r="F13" s="9" t="n">
        <v>0.15</v>
      </c>
    </row>
    <row r="14" customFormat="false" ht="15" hidden="false" customHeight="false" outlineLevel="0" collapsed="false">
      <c r="A14" s="7" t="s">
        <v>54</v>
      </c>
      <c r="D14" s="7" t="n">
        <f aca="false">SUM(D10:D13)</f>
        <v>11</v>
      </c>
    </row>
    <row r="16" customFormat="false" ht="15" hidden="false" customHeight="false" outlineLevel="0" collapsed="false">
      <c r="A16" s="2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63</v>
      </c>
    </row>
    <row r="3" customFormat="false" ht="15" hidden="false" customHeight="false" outlineLevel="0" collapsed="false">
      <c r="A3" s="10" t="s">
        <v>64</v>
      </c>
      <c r="B3" s="11" t="s">
        <v>65</v>
      </c>
    </row>
    <row r="4" customFormat="false" ht="23.85" hidden="false" customHeight="false" outlineLevel="0" collapsed="false">
      <c r="A4" s="10" t="s">
        <v>66</v>
      </c>
      <c r="B4" s="11" t="s">
        <v>67</v>
      </c>
    </row>
    <row r="5" customFormat="false" ht="23.85" hidden="false" customHeight="false" outlineLevel="0" collapsed="false">
      <c r="A5" s="10" t="s">
        <v>68</v>
      </c>
      <c r="B5" s="11" t="s">
        <v>69</v>
      </c>
    </row>
    <row r="6" customFormat="false" ht="15" hidden="false" customHeight="false" outlineLevel="0" collapsed="false">
      <c r="A6" s="10" t="s">
        <v>70</v>
      </c>
      <c r="B6" s="11" t="s">
        <v>71</v>
      </c>
    </row>
    <row r="7" customFormat="false" ht="23.85" hidden="false" customHeight="false" outlineLevel="0" collapsed="false">
      <c r="A7" s="10" t="s">
        <v>72</v>
      </c>
      <c r="B7" s="11" t="s">
        <v>73</v>
      </c>
    </row>
    <row r="8" customFormat="false" ht="23.85" hidden="false" customHeight="false" outlineLevel="0" collapsed="false">
      <c r="A8" s="10" t="s">
        <v>74</v>
      </c>
      <c r="B8" s="11" t="s">
        <v>75</v>
      </c>
    </row>
    <row r="9" customFormat="false" ht="15" hidden="false" customHeight="false" outlineLevel="0" collapsed="false">
      <c r="A9" s="10" t="s">
        <v>76</v>
      </c>
      <c r="B9" s="11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2026-10-29T08:30:54Z</dcterms:created>
  <dc:creator>openpyxl</dc:creator>
  <dc:description/>
  <dc:language>en-US</dc:language>
  <cp:lastModifiedBy/>
  <dcterms:modified xsi:type="dcterms:W3CDTF">2026-10-29T08:30:54Z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